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\source\repos\Data-Analyst-Bootcamp\excel\"/>
    </mc:Choice>
  </mc:AlternateContent>
  <xr:revisionPtr revIDLastSave="0" documentId="13_ncr:1_{78290A7B-877D-403E-BE97-19674915739F}" xr6:coauthVersionLast="47" xr6:coauthVersionMax="47" xr10:uidLastSave="{00000000-0000-0000-0000-000000000000}"/>
  <bookViews>
    <workbookView xWindow="-28920" yWindow="-120" windowWidth="29040" windowHeight="15720" firstSheet="1" activeTab="1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Concatenate" sheetId="1" r:id="rId7"/>
    <sheet name="Substitute" sheetId="7" r:id="rId8"/>
    <sheet name="SUM-SumIF" sheetId="12" r:id="rId9"/>
    <sheet name="Count-CountIF" sheetId="5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3" l="1"/>
  <c r="K4" i="13"/>
  <c r="K5" i="13"/>
  <c r="K6" i="13"/>
  <c r="K7" i="13"/>
  <c r="K8" i="13"/>
  <c r="K9" i="13"/>
  <c r="K10" i="13"/>
  <c r="K2" i="13"/>
  <c r="J3" i="13"/>
  <c r="J4" i="13"/>
  <c r="J5" i="13"/>
  <c r="J6" i="13"/>
  <c r="J7" i="13"/>
  <c r="J8" i="13"/>
  <c r="J9" i="13"/>
  <c r="J10" i="13"/>
  <c r="J2" i="13"/>
  <c r="L2" i="5"/>
  <c r="K2" i="5"/>
  <c r="J2" i="5"/>
  <c r="L2" i="12"/>
  <c r="K2" i="12"/>
  <c r="J2" i="12"/>
  <c r="J2" i="7" a="1"/>
  <c r="J2" i="7" s="1"/>
  <c r="L2" i="7" a="1"/>
  <c r="L2" i="7" s="1"/>
  <c r="J2" i="1"/>
  <c r="K3" i="1"/>
  <c r="K4" i="1"/>
  <c r="K5" i="1"/>
  <c r="K6" i="1"/>
  <c r="K7" i="1"/>
  <c r="K8" i="1"/>
  <c r="K9" i="1"/>
  <c r="K10" i="1"/>
  <c r="K2" i="1"/>
  <c r="J10" i="1"/>
  <c r="J9" i="1"/>
  <c r="J8" i="1"/>
  <c r="J7" i="1"/>
  <c r="J6" i="1"/>
  <c r="J5" i="1"/>
  <c r="J4" i="1"/>
  <c r="J3" i="1"/>
  <c r="J2" i="6" a="1"/>
  <c r="J2" i="6" s="1"/>
  <c r="J2" i="3" a="1"/>
  <c r="J2" i="3" s="1"/>
  <c r="M2" i="4" a="1"/>
  <c r="M2" i="4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K2" i="9"/>
  <c r="J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<sst xmlns="http://schemas.openxmlformats.org/spreadsheetml/2006/main" count="583" uniqueCount="88">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</sst>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K4" sqref="K4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MIN(G2:G10)</f>
        <v>36000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16" sqref="K16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1" max="11" width="18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IF(D2:D10&gt;30, "Old", "Young")</f>
        <v>Young</v>
      </c>
      <c r="K2" t="str" cm="1">
        <f t="array" ref="K2:K10">_xlfn.IFS(F2:F10 = "Salesman", "Sales",F2:F10 = "HR", "Fire Immediately", F2:F10 = "Regional Manager", "Give Christmas Bonus")</f>
        <v>Sales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e">
        <v>#N/A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Sales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Old</v>
      </c>
      <c r="K5" t="e">
        <v>#N/A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Old</v>
      </c>
      <c r="K6" t="str">
        <v>Fire Immediately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str">
        <v>Give Christmas Bonus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Old</v>
      </c>
      <c r="K8" t="e">
        <v>#N/A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Sales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Old</v>
      </c>
      <c r="K10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K21" sqref="K21"/>
    </sheetView>
  </sheetViews>
  <sheetFormatPr defaultColWidth="10.85546875" defaultRowHeight="15" x14ac:dyDescent="0.25"/>
  <cols>
    <col min="1" max="1" width="10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LEN(C2:C10)</f>
        <v>7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7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10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5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workbookViewId="0">
      <selection activeCell="M3" sqref="M3"/>
    </sheetView>
  </sheetViews>
  <sheetFormatPr defaultColWidth="14.5703125" defaultRowHeight="15" x14ac:dyDescent="0.25"/>
  <cols>
    <col min="4" max="4" width="8" customWidth="1"/>
    <col min="10" max="10" width="32.2851562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LEFT(B2:B10, 3)</f>
        <v>Jim</v>
      </c>
      <c r="L2" t="str" cm="1">
        <f t="array" ref="L2:L10">RIGHT(A2:A10,2)</f>
        <v>01</v>
      </c>
      <c r="M2" t="str" cm="1">
        <f t="array" ref="M2:M10">RIGHT(H2:H10, 4)</f>
        <v>2001</v>
      </c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Pam</v>
      </c>
      <c r="L3" t="str">
        <v>02</v>
      </c>
      <c r="M3" t="str">
        <v>1999</v>
      </c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Dwi</v>
      </c>
      <c r="L4" t="str">
        <v>03</v>
      </c>
      <c r="M4" t="str">
        <v>2000</v>
      </c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Ang</v>
      </c>
      <c r="L5" t="str">
        <v>04</v>
      </c>
      <c r="M5" t="str">
        <v>2000</v>
      </c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Tob</v>
      </c>
      <c r="L6" t="str">
        <v>05</v>
      </c>
      <c r="M6" t="str">
        <v>2001</v>
      </c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Mic</v>
      </c>
      <c r="L7" t="str">
        <v>06</v>
      </c>
      <c r="M7" t="str">
        <v>2001</v>
      </c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Mer</v>
      </c>
      <c r="L8" t="str">
        <v>07</v>
      </c>
      <c r="M8" t="str">
        <v>2003</v>
      </c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Sta</v>
      </c>
      <c r="L9" t="str">
        <v>08</v>
      </c>
      <c r="M9" t="str">
        <v>2002</v>
      </c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Kev</v>
      </c>
      <c r="L10" t="str">
        <v>09</v>
      </c>
      <c r="M10" t="str"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K13"/>
  <sheetViews>
    <sheetView workbookViewId="0">
      <selection activeCell="J2" sqref="J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 "DD/MM/YYYY")</f>
        <v>02/11/2001</v>
      </c>
      <c r="K2" s="2"/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K3" s="2"/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K4" s="2"/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K5" s="2"/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K6" s="2"/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K7" s="2"/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K8" s="2"/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K9" s="2"/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K10" s="2"/>
    </row>
    <row r="12" spans="1:11" x14ac:dyDescent="0.25">
      <c r="H12" s="1"/>
    </row>
    <row r="13" spans="1:11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J3" sqref="J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2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2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2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2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2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2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2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2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2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K12"/>
  <sheetViews>
    <sheetView workbookViewId="0">
      <selection activeCell="K17" sqref="K17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2" bestFit="1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CONCATENATE(B2, " ", C2)</f>
        <v>Jim Halpert</v>
      </c>
      <c r="K2" t="str">
        <f>_xlfn.CONCAT(B2, ".", C2, "@gmail.com")</f>
        <v>Jim.Halpert@gmail.com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_xlfn.CONCAT(B3, " ", C3)</f>
        <v>Pam Beasley</v>
      </c>
      <c r="K3" t="str">
        <f t="shared" ref="K3:K10" si="1">_xlfn.CONCAT(B3, ".", C3, "@gmail.com")</f>
        <v>Pam.Beasley@gmail.com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Dwight Schrute</v>
      </c>
      <c r="K4" t="str">
        <f t="shared" si="1"/>
        <v>Dwight.Schrute@gmail.com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Angela Martin</v>
      </c>
      <c r="K5" t="str">
        <f t="shared" si="1"/>
        <v>Angela.Martin@gmail.com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Toby Flenderson</v>
      </c>
      <c r="K6" t="str">
        <f t="shared" si="1"/>
        <v>Toby.Flenderson@gmail.com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Michael Scott</v>
      </c>
      <c r="K7" t="str">
        <f t="shared" si="1"/>
        <v>Michael.Scott@gmail.com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Meredith Palmer</v>
      </c>
      <c r="K8" t="str">
        <f t="shared" si="1"/>
        <v>Meredith.Palmer@gmail.com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Stanley Hudson</v>
      </c>
      <c r="K9" t="str">
        <f t="shared" si="1"/>
        <v>Stanley.Hudson@gmail.com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Kevin Malone</v>
      </c>
      <c r="K10" t="str">
        <f t="shared" si="1"/>
        <v>Kevin.Malone@gmail.com</v>
      </c>
    </row>
    <row r="11" spans="1:11" x14ac:dyDescent="0.25">
      <c r="H11" t="str">
        <f t="shared" ref="H11:H12" si="2">CONCATENATE(B11," ",C11)</f>
        <v xml:space="preserve"> </v>
      </c>
    </row>
    <row r="12" spans="1:11" x14ac:dyDescent="0.25">
      <c r="H12" t="str">
        <f t="shared" si="2"/>
        <v xml:space="preserve"> 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J3" sqref="J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t="str" cm="1">
        <f t="array" ref="J2:J10">SUBSTITUTE(H2:H10, "/", "-", 1)</f>
        <v>11-2/2001</v>
      </c>
      <c r="L2" t="str" cm="1">
        <f t="array" ref="L2:L10">SUBSTITUTE(H2:H10, "/", "-")</f>
        <v>11-2-2001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t="str">
        <v>10-3/1999</v>
      </c>
      <c r="L3" t="str">
        <v>10-3-1999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t="str">
        <v>7-4/2000</v>
      </c>
      <c r="L4" t="str">
        <v>7-4-2000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t="str">
        <v>1-5/2000</v>
      </c>
      <c r="L5" t="str">
        <v>1-5-2000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t="str">
        <v>5-6/2001</v>
      </c>
      <c r="L6" t="str">
        <v>5-6-2001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t="str">
        <v>5-6/2001</v>
      </c>
      <c r="L7" t="str">
        <v>5-6-2001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t="str">
        <v>11-8/2003</v>
      </c>
      <c r="L8" t="str">
        <v>11-8-2003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t="str">
        <v>6-9/2002</v>
      </c>
      <c r="L9" t="str">
        <v>6-9-2002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t="str">
        <v>8-10/2003</v>
      </c>
      <c r="L10" t="str">
        <v>8-10-2003</v>
      </c>
    </row>
    <row r="12" spans="1:12" x14ac:dyDescent="0.25">
      <c r="H12" s="2"/>
      <c r="I12" s="2"/>
    </row>
    <row r="13" spans="1:12" x14ac:dyDescent="0.25">
      <c r="H13" s="2"/>
      <c r="I13" s="2"/>
    </row>
    <row r="14" spans="1:12" x14ac:dyDescent="0.25">
      <c r="H14" s="2"/>
      <c r="I14" s="2"/>
    </row>
    <row r="15" spans="1:12" x14ac:dyDescent="0.25">
      <c r="H15" s="2"/>
      <c r="I15" s="2"/>
    </row>
    <row r="16" spans="1:12" x14ac:dyDescent="0.25">
      <c r="H16" s="2"/>
      <c r="I16" s="2"/>
    </row>
    <row r="17" spans="8:9" x14ac:dyDescent="0.25">
      <c r="H17" s="2"/>
      <c r="I17" s="2"/>
    </row>
    <row r="18" spans="8:9" x14ac:dyDescent="0.25">
      <c r="H18" s="2"/>
      <c r="I18" s="2"/>
    </row>
    <row r="19" spans="8:9" x14ac:dyDescent="0.25">
      <c r="H19" s="2"/>
      <c r="I19" s="2"/>
    </row>
    <row r="20" spans="8:9" x14ac:dyDescent="0.25">
      <c r="H20" s="2"/>
      <c r="I20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L3" sqref="L3"/>
    </sheetView>
  </sheetViews>
  <sheetFormatPr defaultColWidth="13" defaultRowHeight="15" x14ac:dyDescent="0.25"/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 "&gt;50000")</f>
        <v>128000</v>
      </c>
      <c r="L2">
        <f>SUMIFS(G2:G10, E2:E10, "Female",D2:D10, "&gt;30")</f>
        <v>88000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L2" sqref="L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COUNT(G2:G10)</f>
        <v>9</v>
      </c>
      <c r="K2">
        <f>COUNTIF(G2:G10, "&gt;50000")</f>
        <v>2</v>
      </c>
      <c r="L2">
        <f>COUNTIFS( E2:E10, "Male", D2:D10, "&gt;30")</f>
        <v>4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tabSelected="1" workbookViewId="0">
      <selection activeCell="O31" sqref="O31"/>
    </sheetView>
  </sheetViews>
  <sheetFormatPr defaultRowHeight="15" x14ac:dyDescent="0.25"/>
  <cols>
    <col min="8" max="8" width="14.42578125" customWidth="1"/>
    <col min="9" max="9" width="13.2851562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>
        <f>_xlfn.DAYS(I2,H2)</f>
        <v>5056</v>
      </c>
      <c r="K2">
        <f>NETWORKDAYS(H2,I2)</f>
        <v>3611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>
        <f t="shared" ref="J3:J10" si="0">_xlfn.DAYS(I3,H3)</f>
        <v>5851</v>
      </c>
      <c r="K3">
        <f t="shared" ref="K3:K10" si="1">NETWORKDAYS(H3,I3)</f>
        <v>4180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>
        <f t="shared" si="0"/>
        <v>6275</v>
      </c>
      <c r="K4">
        <f t="shared" si="1"/>
        <v>4484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>
        <f t="shared" si="0"/>
        <v>5811</v>
      </c>
      <c r="K5">
        <f t="shared" si="1"/>
        <v>4152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>
        <f t="shared" si="0"/>
        <v>5960</v>
      </c>
      <c r="K6">
        <f t="shared" si="1"/>
        <v>4258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>
        <f t="shared" si="0"/>
        <v>4511</v>
      </c>
      <c r="K7">
        <f t="shared" si="1"/>
        <v>3223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>
        <f t="shared" si="0"/>
        <v>3595</v>
      </c>
      <c r="K8">
        <f t="shared" si="1"/>
        <v>2568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>
        <f t="shared" si="0"/>
        <v>4700</v>
      </c>
      <c r="K9">
        <f t="shared" si="1"/>
        <v>3358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>
        <f t="shared" si="0"/>
        <v>4273</v>
      </c>
      <c r="K10">
        <f t="shared" si="1"/>
        <v>3053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Concatenate</vt:lpstr>
      <vt:lpstr>Substitute</vt:lpstr>
      <vt:lpstr>SUM-SumIF</vt:lpstr>
      <vt:lpstr>Count-CountIF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Dan Mark</cp:lastModifiedBy>
  <dcterms:created xsi:type="dcterms:W3CDTF">2021-12-16T14:18:34Z</dcterms:created>
  <dcterms:modified xsi:type="dcterms:W3CDTF">2026-09-25T20:40:50Z</dcterms:modified>
</cp:coreProperties>
</file>